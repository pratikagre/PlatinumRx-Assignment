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  <sheet name="Pivo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1" t="inlineStr">
        <is>
          <t>Same Day?</t>
        </is>
      </c>
      <c r="G1" s="1" t="inlineStr">
        <is>
          <t>Same Hour?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IF(INT(DATEVALUE(LEFT(B2,10)))=INT(DATEVALUE(LEFT(C2,10))), TRUE, FALSE)</f>
        <v/>
      </c>
      <c r="G2">
        <f>IF(AND(F2=TRUE, HOUR(TIMEVALUE(MID(B2, 12, 8)))=HOUR(TIMEVALUE(MID(C2, 12, 8)))), TRUE, FALSE)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cms-2384-xyz</t>
        </is>
      </c>
      <c r="F3">
        <f>IF(INT(DATEVALUE(LEFT(B3,10)))=INT(DATEVALUE(LEFT(C3,10))), TRUE, FALSE)</f>
        <v/>
      </c>
      <c r="G3">
        <f>IF(AND(F3=TRUE, HOUR(TIMEVALUE(MID(B3, 12, 8)))=HOUR(TIMEVALUE(MID(C3, 12, 8)))), TRUE, FALSE)</f>
        <v/>
      </c>
    </row>
    <row r="4">
      <c r="A4" t="inlineStr">
        <is>
          <t>tk-394-xfe</t>
        </is>
      </c>
      <c r="B4" t="inlineStr">
        <is>
          <t>2021-08-21 13:20:00</t>
        </is>
      </c>
      <c r="C4" t="inlineStr">
        <is>
          <t>2021-08-21 13:45:00</t>
        </is>
      </c>
      <c r="D4" t="inlineStr">
        <is>
          <t>wrqy-juv-978</t>
        </is>
      </c>
      <c r="E4" t="inlineStr">
        <is>
          <t>vew-iuvd-15</t>
        </is>
      </c>
      <c r="F4">
        <f>IF(INT(DATEVALUE(LEFT(B4,10)))=INT(DATEVALUE(LEFT(C4,10))), TRUE, FALSE)</f>
        <v/>
      </c>
      <c r="G4">
        <f>IF(AND(F4=TRUE, HOUR(TIMEVALUE(MID(B4, 12, 8)))=HOUR(TIMEVALUE(MID(C4, 12, 8)))), TRUE, FALSE)</f>
        <v/>
      </c>
    </row>
    <row r="5">
      <c r="A5" t="inlineStr">
        <is>
          <t>tk-395-ytr</t>
        </is>
      </c>
      <c r="B5" t="inlineStr">
        <is>
          <t>2021-08-22 10:00:00</t>
        </is>
      </c>
      <c r="C5" t="inlineStr">
        <is>
          <t>2021-08-22 10:30:00</t>
        </is>
      </c>
      <c r="D5" t="inlineStr">
        <is>
          <t>8woh-k3u-23b</t>
        </is>
      </c>
      <c r="E5" t="inlineStr">
        <is>
          <t>vew-iuvd-16</t>
        </is>
      </c>
      <c r="F5">
        <f>IF(INT(DATEVALUE(LEFT(B5,10)))=INT(DATEVALUE(LEFT(C5,10))), TRUE, FALSE)</f>
        <v/>
      </c>
      <c r="G5">
        <f>IF(AND(F5=TRUE, HOUR(TIMEVALUE(MID(B5, 12, 8)))=HOUR(TIMEVALUE(MID(C5, 12, 8)))), TRUE, FALSE)</f>
        <v/>
      </c>
    </row>
    <row r="6">
      <c r="A6" t="inlineStr">
        <is>
          <t>tk-396-ewq</t>
        </is>
      </c>
      <c r="B6" t="inlineStr">
        <is>
          <t>2021-08-22 14:00:00</t>
        </is>
      </c>
      <c r="C6" t="inlineStr">
        <is>
          <t>2021-08-23 09:00:00</t>
        </is>
      </c>
      <c r="D6" t="inlineStr">
        <is>
          <t>wrqy-juv-978</t>
        </is>
      </c>
      <c r="E6" t="inlineStr">
        <is>
          <t>vew-iuvd-17</t>
        </is>
      </c>
      <c r="F6">
        <f>IF(INT(DATEVALUE(LEFT(B6,10)))=INT(DATEVALUE(LEFT(C6,10))), TRUE, FALSE)</f>
        <v/>
      </c>
      <c r="G6">
        <f>IF(AND(F6=TRUE, HOUR(TIMEVALUE(MID(B6, 12, 8)))=HOUR(TIMEVALUE(MID(C6, 12, 8)))), TRUE, 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30" customWidth="1" min="4" max="4"/>
  </cols>
  <sheetData>
    <row r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INDEX(ticket!B:B, MATCH(A2, ticket!E:E, 0))</f>
        <v/>
      </c>
    </row>
    <row r="3">
      <c r="A3" t="inlineStr">
        <is>
          <t>cms-2384-xyz</t>
        </is>
      </c>
      <c r="B3" t="inlineStr">
        <is>
          <t>2021-08-22 09:12:00</t>
        </is>
      </c>
      <c r="C3" t="n">
        <v>5</v>
      </c>
      <c r="D3">
        <f>INDEX(ticket!B:B, MATCH(A3, ticket!E:E, 0))</f>
        <v/>
      </c>
    </row>
    <row r="4">
      <c r="A4" t="inlineStr">
        <is>
          <t>vew-iuvd-15</t>
        </is>
      </c>
      <c r="B4" t="inlineStr">
        <is>
          <t>2021-08-23 10:15:00</t>
        </is>
      </c>
      <c r="C4" t="n">
        <v>4</v>
      </c>
      <c r="D4">
        <f>INDEX(ticket!B:B, MATCH(A4, ticket!E:E, 0))</f>
        <v/>
      </c>
    </row>
    <row r="5">
      <c r="A5" t="inlineStr">
        <is>
          <t>vew-iuvd-16</t>
        </is>
      </c>
      <c r="B5" t="inlineStr">
        <is>
          <t>2021-08-24 11:20:00</t>
        </is>
      </c>
      <c r="C5" t="n">
        <v>2</v>
      </c>
      <c r="D5">
        <f>INDEX(ticket!B:B, MATCH(A5, ticket!E:E, 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1" t="inlineStr">
        <is>
          <t>outlet_id</t>
        </is>
      </c>
      <c r="B1" s="1" t="inlineStr">
        <is>
          <t>Same Day Ticket Count</t>
        </is>
      </c>
      <c r="C1" s="1" t="inlineStr">
        <is>
          <t>Same Hour Ticket Count</t>
        </is>
      </c>
    </row>
    <row r="2">
      <c r="A2" t="inlineStr">
        <is>
          <t>wrqy-juv-978</t>
        </is>
      </c>
      <c r="B2">
        <f>COUNTIFS(ticket!D:D, A2, ticket!F:F, TRUE)</f>
        <v/>
      </c>
      <c r="C2">
        <f>COUNTIFS(ticket!D:D, A2, ticket!G:G, TRUE)</f>
        <v/>
      </c>
    </row>
    <row r="3">
      <c r="A3" t="inlineStr">
        <is>
          <t>8woh-k3u-23b</t>
        </is>
      </c>
      <c r="B3">
        <f>COUNTIFS(ticket!D:D, A3, ticket!F:F, TRUE)</f>
        <v/>
      </c>
      <c r="C3">
        <f>COUNTIFS(ticket!D:D, A3, ticket!G:G, 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2026-04-08T19:30:15Z</dcterms:created>
  <dcterms:modified xsi:type="dcterms:W3CDTF">2026-04-08T19:30:15Z</dcterms:modified>
</cp:coreProperties>
</file>